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uizt\Documents\"/>
    </mc:Choice>
  </mc:AlternateContent>
  <xr:revisionPtr revIDLastSave="0" documentId="13_ncr:1_{8F1D69CE-564E-4CE9-9544-F58540F8C36A}" xr6:coauthVersionLast="47" xr6:coauthVersionMax="47" xr10:uidLastSave="{00000000-0000-0000-0000-000000000000}"/>
  <bookViews>
    <workbookView xWindow="-120" yWindow="-120" windowWidth="29040" windowHeight="15720" activeTab="2" xr2:uid="{A342EB4B-A307-4B9A-ABFE-19E0C3C397A7}"/>
  </bookViews>
  <sheets>
    <sheet name="Cadastro" sheetId="1" r:id="rId1"/>
    <sheet name="Pesquisa" sheetId="2" r:id="rId2"/>
    <sheet name="Controle financeir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3" l="1"/>
  <c r="G35" i="3"/>
  <c r="G34" i="3"/>
  <c r="G33" i="3"/>
  <c r="G32" i="3"/>
  <c r="G31" i="3"/>
  <c r="G30" i="3"/>
  <c r="G29" i="3"/>
  <c r="G28" i="3"/>
  <c r="G27" i="3"/>
  <c r="G26" i="3"/>
  <c r="G25" i="3"/>
  <c r="B14" i="3"/>
  <c r="B26" i="3"/>
  <c r="B27" i="3"/>
  <c r="B28" i="3"/>
  <c r="B29" i="3"/>
  <c r="B30" i="3"/>
  <c r="B31" i="3"/>
  <c r="B32" i="3"/>
  <c r="B33" i="3"/>
  <c r="B34" i="3"/>
  <c r="B35" i="3"/>
  <c r="B36" i="3"/>
  <c r="B20" i="3"/>
  <c r="D26" i="3"/>
  <c r="D27" i="3"/>
  <c r="D28" i="3"/>
  <c r="D29" i="3"/>
  <c r="D30" i="3"/>
  <c r="D31" i="3"/>
  <c r="D32" i="3"/>
  <c r="D33" i="3"/>
  <c r="D34" i="3"/>
  <c r="D35" i="3"/>
  <c r="D36" i="3"/>
  <c r="D25" i="3"/>
  <c r="C20" i="3"/>
  <c r="D20" i="3"/>
  <c r="E20" i="3"/>
  <c r="F20" i="3"/>
  <c r="G20" i="3"/>
  <c r="H20" i="3"/>
  <c r="I20" i="3"/>
  <c r="J20" i="3"/>
  <c r="K20" i="3"/>
  <c r="L20" i="3"/>
  <c r="M20" i="3"/>
  <c r="C14" i="3"/>
  <c r="D14" i="3"/>
  <c r="E14" i="3"/>
  <c r="F14" i="3"/>
  <c r="G14" i="3"/>
  <c r="H14" i="3"/>
  <c r="I14" i="3"/>
  <c r="J14" i="3"/>
  <c r="K14" i="3"/>
  <c r="L14" i="3"/>
  <c r="M14" i="3"/>
  <c r="C6" i="2"/>
  <c r="C7" i="2"/>
  <c r="C5" i="2"/>
  <c r="A2" i="1"/>
  <c r="B25" i="3"/>
</calcChain>
</file>

<file path=xl/sharedStrings.xml><?xml version="1.0" encoding="utf-8"?>
<sst xmlns="http://schemas.openxmlformats.org/spreadsheetml/2006/main" count="65" uniqueCount="36">
  <si>
    <t>ID</t>
  </si>
  <si>
    <t>Nome</t>
  </si>
  <si>
    <t>Endereço</t>
  </si>
  <si>
    <t>Telefone</t>
  </si>
  <si>
    <t>(27) 99999-9999</t>
  </si>
  <si>
    <t>Tipo Cadastro</t>
  </si>
  <si>
    <t>Joao dos santos</t>
  </si>
  <si>
    <t>rua das palmeiras</t>
  </si>
  <si>
    <t>Cliente</t>
  </si>
  <si>
    <t>Descrição da despesa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</si>
  <si>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</si>
  <si>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</si>
  <si>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</si>
  <si>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</si>
  <si>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</si>
  <si>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</si>
  <si>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</si>
  <si>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</si>
  <si>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</si>
  <si>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</si>
  <si>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</si>
  <si>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</si>
  <si>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Energia</t>
  </si>
  <si>
    <t>Água</t>
  </si>
  <si>
    <t>Atalhos entre planilhas:</t>
  </si>
  <si>
    <t>Mês de referência</t>
  </si>
  <si>
    <t>Entrada Positiva de Valores</t>
  </si>
  <si>
    <t>Serviços executados no mês:</t>
  </si>
  <si>
    <t>Outras entradas:</t>
  </si>
  <si>
    <t>Materiais</t>
  </si>
  <si>
    <t>outras despesas</t>
  </si>
  <si>
    <t>Total de entradas no mês</t>
  </si>
  <si>
    <t>Total de gastos no mês</t>
  </si>
  <si>
    <t>Lucro/Prejuízo</t>
  </si>
  <si>
    <t>Total de entradas positivas</t>
  </si>
  <si>
    <t>Total de despesas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</si>
</sst>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2" fillId="2" borderId="1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44" fontId="0" fillId="0" borderId="0" xfId="1" applyFont="1" applyAlignment="1">
      <alignment horizontal="center"/>
    </xf>
    <xf numFmtId="44" fontId="0" fillId="0" borderId="0" xfId="1" applyFont="1" applyAlignment="1">
      <alignment horizontal="center" vertical="center"/>
    </xf>
    <xf numFmtId="44" fontId="0" fillId="0" borderId="0" xfId="1" applyFont="1"/>
    <xf numFmtId="0" fontId="0" fillId="0" borderId="5" xfId="0" applyBorder="1"/>
    <xf numFmtId="44" fontId="0" fillId="0" borderId="5" xfId="1" applyFont="1" applyBorder="1"/>
    <xf numFmtId="0" fontId="0" fillId="3" borderId="0" xfId="0" applyFill="1"/>
    <xf numFmtId="44" fontId="0" fillId="3" borderId="0" xfId="1" applyFont="1" applyFill="1" applyBorder="1"/>
    <xf numFmtId="0" fontId="4" fillId="4" borderId="0" xfId="0" applyFont="1" applyFill="1" applyAlignment="1">
      <alignment horizontal="center" vertical="center"/>
    </xf>
    <xf numFmtId="44" fontId="0" fillId="0" borderId="5" xfId="1" applyFont="1" applyBorder="1" applyAlignment="1">
      <alignment horizontal="center"/>
    </xf>
    <xf numFmtId="0" fontId="0" fillId="0" borderId="0" xfId="0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4" fillId="4" borderId="0" xfId="1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ontrole financeiro'!A1"/><Relationship Id="rId1" Type="http://schemas.openxmlformats.org/officeDocument/2006/relationships/hyperlink" Target="#Pesquisa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Controle financeiro'!A1"/><Relationship Id="rId1" Type="http://schemas.openxmlformats.org/officeDocument/2006/relationships/hyperlink" Target="#Cadastr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Pesquisa!A1"/><Relationship Id="rId1" Type="http://schemas.openxmlformats.org/officeDocument/2006/relationships/hyperlink" Target="#Cadastr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0</xdr:row>
      <xdr:rowOff>66675</xdr:rowOff>
    </xdr:from>
    <xdr:to>
      <xdr:col>7</xdr:col>
      <xdr:colOff>381000</xdr:colOff>
      <xdr:row>2</xdr:row>
      <xdr:rowOff>19050</xdr:rowOff>
    </xdr:to>
    <xdr:sp macro="[0]!Cadastro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6B3D03C-6BFD-AD7C-002A-BB18FD3890EA}"/>
            </a:ext>
          </a:extLst>
        </xdr:cNvPr>
        <xdr:cNvSpPr/>
      </xdr:nvSpPr>
      <xdr:spPr>
        <a:xfrm>
          <a:off x="7219950" y="66675"/>
          <a:ext cx="1219200" cy="333375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Segoe UI Black" panose="020B0A02040204020203" pitchFamily="34" charset="0"/>
              <a:ea typeface="Segoe UI Black" panose="020B0A02040204020203" pitchFamily="34" charset="0"/>
            </a:rPr>
            <a:t>Cadastrar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>
    <xdr:from>
      <xdr:col>6</xdr:col>
      <xdr:colOff>1</xdr:colOff>
      <xdr:row>2</xdr:row>
      <xdr:rowOff>104774</xdr:rowOff>
    </xdr:from>
    <xdr:to>
      <xdr:col>7</xdr:col>
      <xdr:colOff>409576</xdr:colOff>
      <xdr:row>4</xdr:row>
      <xdr:rowOff>66675</xdr:rowOff>
    </xdr:to>
    <xdr:sp macro="[0]!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8B4C95-BB82-671A-1EBE-D7619F984EE3}"/>
            </a:ext>
          </a:extLst>
        </xdr:cNvPr>
        <xdr:cNvSpPr/>
      </xdr:nvSpPr>
      <xdr:spPr>
        <a:xfrm>
          <a:off x="7343776" y="485774"/>
          <a:ext cx="1019175" cy="342901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Segoe UI Black" panose="020B0A02040204020203" pitchFamily="34" charset="0"/>
              <a:ea typeface="Segoe UI Black" panose="020B0A02040204020203" pitchFamily="34" charset="0"/>
            </a:rPr>
            <a:t>Pesquisar</a:t>
          </a:r>
          <a:endParaRPr lang="pt-BR" sz="1100"/>
        </a:p>
      </xdr:txBody>
    </xdr:sp>
    <xdr:clientData/>
  </xdr:twoCellAnchor>
  <xdr:twoCellAnchor>
    <xdr:from>
      <xdr:col>5</xdr:col>
      <xdr:colOff>190499</xdr:colOff>
      <xdr:row>8</xdr:row>
      <xdr:rowOff>104775</xdr:rowOff>
    </xdr:from>
    <xdr:to>
      <xdr:col>8</xdr:col>
      <xdr:colOff>28574</xdr:colOff>
      <xdr:row>30</xdr:row>
      <xdr:rowOff>47625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BF56F9-D474-23FB-7406-61B368954506}"/>
            </a:ext>
          </a:extLst>
        </xdr:cNvPr>
        <xdr:cNvSpPr txBox="1"/>
      </xdr:nvSpPr>
      <xdr:spPr>
        <a:xfrm>
          <a:off x="7267574" y="1628775"/>
          <a:ext cx="1323975" cy="413385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/>
            <a:t>Pequeno</a:t>
          </a:r>
          <a:r>
            <a:rPr lang="pt-BR" sz="1600" baseline="0"/>
            <a:t> controle de clientes e parceiros</a:t>
          </a:r>
        </a:p>
        <a:p>
          <a:endParaRPr lang="pt-BR" sz="1100" baseline="0"/>
        </a:p>
        <a:p>
          <a:endParaRPr lang="pt-BR" sz="1100" baseline="0"/>
        </a:p>
        <a:p>
          <a:pPr algn="ctr"/>
          <a:r>
            <a:rPr lang="pt-BR" sz="2000" baseline="0">
              <a:latin typeface="Segoe UI Black" panose="020B0A02040204020203" pitchFamily="34" charset="0"/>
              <a:ea typeface="Segoe UI Black" panose="020B0A02040204020203" pitchFamily="34" charset="0"/>
            </a:rPr>
            <a:t>EVALDO</a:t>
          </a:r>
        </a:p>
        <a:p>
          <a:pPr algn="ctr"/>
          <a:r>
            <a:rPr lang="pt-BR" sz="2000" baseline="0">
              <a:latin typeface="Segoe UI Black" panose="020B0A02040204020203" pitchFamily="34" charset="0"/>
              <a:ea typeface="Segoe UI Black" panose="020B0A02040204020203" pitchFamily="34" charset="0"/>
            </a:rPr>
            <a:t> </a:t>
          </a:r>
        </a:p>
        <a:p>
          <a:pPr algn="ctr"/>
          <a:r>
            <a:rPr lang="pt-BR" sz="2000" baseline="0">
              <a:latin typeface="Segoe UI Black" panose="020B0A02040204020203" pitchFamily="34" charset="0"/>
              <a:ea typeface="Segoe UI Black" panose="020B0A02040204020203" pitchFamily="34" charset="0"/>
            </a:rPr>
            <a:t>S.O.S</a:t>
          </a:r>
        </a:p>
        <a:p>
          <a:pPr algn="ctr"/>
          <a:r>
            <a:rPr lang="pt-BR" sz="2000" baseline="0">
              <a:latin typeface="Segoe UI Black" panose="020B0A02040204020203" pitchFamily="34" charset="0"/>
              <a:ea typeface="Segoe UI Black" panose="020B0A02040204020203" pitchFamily="34" charset="0"/>
            </a:rPr>
            <a:t> VENTOINHAS</a:t>
          </a:r>
          <a:endParaRPr lang="pt-BR" sz="20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5</xdr:col>
      <xdr:colOff>247651</xdr:colOff>
      <xdr:row>4</xdr:row>
      <xdr:rowOff>161923</xdr:rowOff>
    </xdr:from>
    <xdr:to>
      <xdr:col>7</xdr:col>
      <xdr:colOff>390526</xdr:colOff>
      <xdr:row>8</xdr:row>
      <xdr:rowOff>9524</xdr:rowOff>
    </xdr:to>
    <xdr:sp macro="[0]!Cadastro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2AA696-D414-8A13-17C0-2A48E1AC6535}"/>
            </a:ext>
          </a:extLst>
        </xdr:cNvPr>
        <xdr:cNvSpPr/>
      </xdr:nvSpPr>
      <xdr:spPr>
        <a:xfrm>
          <a:off x="7324726" y="923923"/>
          <a:ext cx="1019175" cy="609601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Segoe UI Black" panose="020B0A02040204020203" pitchFamily="34" charset="0"/>
              <a:ea typeface="Segoe UI Black" panose="020B0A02040204020203" pitchFamily="34" charset="0"/>
            </a:rPr>
            <a:t>Controle financeiro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219075</xdr:rowOff>
    </xdr:from>
    <xdr:to>
      <xdr:col>3</xdr:col>
      <xdr:colOff>180975</xdr:colOff>
      <xdr:row>1</xdr:row>
      <xdr:rowOff>723900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7846F8E-D5D8-C435-FBBD-432CB9EE15B5}"/>
            </a:ext>
          </a:extLst>
        </xdr:cNvPr>
        <xdr:cNvSpPr txBox="1"/>
      </xdr:nvSpPr>
      <xdr:spPr>
        <a:xfrm>
          <a:off x="457200" y="409575"/>
          <a:ext cx="3133725" cy="5048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wrap="square" rtlCol="0" anchor="t"/>
        <a:lstStyle/>
        <a:p>
          <a:r>
            <a:rPr lang="pt-BR" sz="1400" b="1">
              <a:latin typeface="Segoe UI Black" panose="020B0A02040204020203" pitchFamily="34" charset="0"/>
              <a:ea typeface="Segoe UI Black" panose="020B0A02040204020203" pitchFamily="34" charset="0"/>
            </a:rPr>
            <a:t>Pesquisa de Clientes</a:t>
          </a:r>
          <a:r>
            <a:rPr lang="pt-BR" sz="1400" b="1" baseline="0">
              <a:latin typeface="Segoe UI Black" panose="020B0A02040204020203" pitchFamily="34" charset="0"/>
              <a:ea typeface="Segoe UI Black" panose="020B0A02040204020203" pitchFamily="34" charset="0"/>
            </a:rPr>
            <a:t> e Parceiros</a:t>
          </a:r>
          <a:endParaRPr lang="pt-BR" sz="1400" b="1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5</xdr:col>
      <xdr:colOff>249116</xdr:colOff>
      <xdr:row>1</xdr:row>
      <xdr:rowOff>505558</xdr:rowOff>
    </xdr:from>
    <xdr:to>
      <xdr:col>7</xdr:col>
      <xdr:colOff>197827</xdr:colOff>
      <xdr:row>1</xdr:row>
      <xdr:rowOff>754673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7E2B3-46BD-14D8-77B9-23A87311ECE3}"/>
            </a:ext>
          </a:extLst>
        </xdr:cNvPr>
        <xdr:cNvSpPr/>
      </xdr:nvSpPr>
      <xdr:spPr>
        <a:xfrm>
          <a:off x="4872404" y="696058"/>
          <a:ext cx="1164981" cy="24911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none">
              <a:latin typeface="Segoe UI Black" panose="020B0A02040204020203" pitchFamily="34" charset="0"/>
              <a:ea typeface="Segoe UI Black" panose="020B0A02040204020203" pitchFamily="34" charset="0"/>
            </a:rPr>
            <a:t>Cadastro</a:t>
          </a:r>
        </a:p>
      </xdr:txBody>
    </xdr:sp>
    <xdr:clientData/>
  </xdr:twoCellAnchor>
  <xdr:twoCellAnchor>
    <xdr:from>
      <xdr:col>4</xdr:col>
      <xdr:colOff>300404</xdr:colOff>
      <xdr:row>5</xdr:row>
      <xdr:rowOff>102577</xdr:rowOff>
    </xdr:from>
    <xdr:to>
      <xdr:col>8</xdr:col>
      <xdr:colOff>163391</xdr:colOff>
      <xdr:row>17</xdr:row>
      <xdr:rowOff>50556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604E04E-9EC3-4055-8709-F228E8CAABD5}"/>
            </a:ext>
          </a:extLst>
        </xdr:cNvPr>
        <xdr:cNvSpPr txBox="1"/>
      </xdr:nvSpPr>
      <xdr:spPr>
        <a:xfrm>
          <a:off x="4315558" y="1765789"/>
          <a:ext cx="2295525" cy="2314575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/>
            <a:t>Pequeno</a:t>
          </a:r>
          <a:r>
            <a:rPr lang="pt-BR" sz="1600" baseline="0"/>
            <a:t> controle de clientes e parceiros</a:t>
          </a:r>
        </a:p>
        <a:p>
          <a:endParaRPr lang="pt-BR" sz="1100" baseline="0"/>
        </a:p>
        <a:p>
          <a:endParaRPr lang="pt-BR" sz="1100" baseline="0"/>
        </a:p>
        <a:p>
          <a:pPr algn="ctr"/>
          <a:r>
            <a:rPr lang="pt-BR" sz="2400" baseline="0">
              <a:latin typeface="Segoe UI Black" panose="020B0A02040204020203" pitchFamily="34" charset="0"/>
              <a:ea typeface="Segoe UI Black" panose="020B0A02040204020203" pitchFamily="34" charset="0"/>
            </a:rPr>
            <a:t>EVALDO S.O.S VENTOINHAS</a:t>
          </a:r>
          <a:endParaRPr lang="pt-BR" sz="24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5</xdr:col>
      <xdr:colOff>247651</xdr:colOff>
      <xdr:row>1</xdr:row>
      <xdr:rowOff>819151</xdr:rowOff>
    </xdr:from>
    <xdr:to>
      <xdr:col>7</xdr:col>
      <xdr:colOff>196362</xdr:colOff>
      <xdr:row>4</xdr:row>
      <xdr:rowOff>212481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A72947-DD5A-2506-BA16-0F699E06852F}"/>
            </a:ext>
          </a:extLst>
        </xdr:cNvPr>
        <xdr:cNvSpPr/>
      </xdr:nvSpPr>
      <xdr:spPr>
        <a:xfrm>
          <a:off x="4870939" y="1009651"/>
          <a:ext cx="1164981" cy="6389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none">
              <a:latin typeface="Segoe UI Black" panose="020B0A02040204020203" pitchFamily="34" charset="0"/>
              <a:ea typeface="Segoe UI Black" panose="020B0A02040204020203" pitchFamily="34" charset="0"/>
            </a:rPr>
            <a:t>Controle</a:t>
          </a:r>
          <a:r>
            <a:rPr lang="pt-BR" sz="1100" b="1" u="none" baseline="0">
              <a:latin typeface="Segoe UI Black" panose="020B0A02040204020203" pitchFamily="34" charset="0"/>
              <a:ea typeface="Segoe UI Black" panose="020B0A02040204020203" pitchFamily="34" charset="0"/>
            </a:rPr>
            <a:t> Financeiro</a:t>
          </a:r>
        </a:p>
        <a:p>
          <a:pPr algn="ctr"/>
          <a:endParaRPr lang="pt-BR" sz="1100" b="1" u="none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</xdr:row>
      <xdr:rowOff>142875</xdr:rowOff>
    </xdr:from>
    <xdr:to>
      <xdr:col>15</xdr:col>
      <xdr:colOff>1457325</xdr:colOff>
      <xdr:row>5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DA3558-EFB9-6ADE-E010-05CF8C39A2D6}"/>
            </a:ext>
          </a:extLst>
        </xdr:cNvPr>
        <xdr:cNvSpPr/>
      </xdr:nvSpPr>
      <xdr:spPr>
        <a:xfrm>
          <a:off x="10391775" y="1638300"/>
          <a:ext cx="1428750" cy="2381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Black" panose="020B0A02040204020203" pitchFamily="34" charset="0"/>
              <a:ea typeface="Segoe UI Black" panose="020B0A02040204020203" pitchFamily="34" charset="0"/>
            </a:rPr>
            <a:t>Cadastro</a:t>
          </a:r>
        </a:p>
      </xdr:txBody>
    </xdr:sp>
    <xdr:clientData/>
  </xdr:twoCellAnchor>
  <xdr:twoCellAnchor>
    <xdr:from>
      <xdr:col>15</xdr:col>
      <xdr:colOff>9525</xdr:colOff>
      <xdr:row>5</xdr:row>
      <xdr:rowOff>152400</xdr:rowOff>
    </xdr:from>
    <xdr:to>
      <xdr:col>15</xdr:col>
      <xdr:colOff>1438275</xdr:colOff>
      <xdr:row>7</xdr:row>
      <xdr:rowOff>9525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540F0A0-AF45-05DD-90E0-1DB8ADA97F93}"/>
            </a:ext>
          </a:extLst>
        </xdr:cNvPr>
        <xdr:cNvSpPr/>
      </xdr:nvSpPr>
      <xdr:spPr>
        <a:xfrm>
          <a:off x="10372725" y="2028825"/>
          <a:ext cx="1428750" cy="2381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Black" panose="020B0A02040204020203" pitchFamily="34" charset="0"/>
              <a:ea typeface="Segoe UI Black" panose="020B0A02040204020203" pitchFamily="34" charset="0"/>
            </a:rPr>
            <a:t>Pesquisa</a:t>
          </a:r>
        </a:p>
      </xdr:txBody>
    </xdr:sp>
    <xdr:clientData/>
  </xdr:twoCellAnchor>
  <xdr:twoCellAnchor>
    <xdr:from>
      <xdr:col>0</xdr:col>
      <xdr:colOff>9525</xdr:colOff>
      <xdr:row>0</xdr:row>
      <xdr:rowOff>9525</xdr:rowOff>
    </xdr:from>
    <xdr:to>
      <xdr:col>13</xdr:col>
      <xdr:colOff>9525</xdr:colOff>
      <xdr:row>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1FCE71D-3F97-5D5D-D18F-8B4F3F3829D6}"/>
            </a:ext>
          </a:extLst>
        </xdr:cNvPr>
        <xdr:cNvSpPr txBox="1"/>
      </xdr:nvSpPr>
      <xdr:spPr>
        <a:xfrm>
          <a:off x="9525" y="9525"/>
          <a:ext cx="9477375" cy="12287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latin typeface="Segoe UI Black" panose="020B0A02040204020203" pitchFamily="34" charset="0"/>
              <a:ea typeface="Segoe UI Black" panose="020B0A02040204020203" pitchFamily="34" charset="0"/>
            </a:rPr>
            <a:t>CONTROLE</a:t>
          </a:r>
          <a:r>
            <a:rPr lang="pt-BR" sz="2000" b="1" baseline="0">
              <a:latin typeface="Segoe UI Black" panose="020B0A02040204020203" pitchFamily="34" charset="0"/>
              <a:ea typeface="Segoe UI Black" panose="020B0A02040204020203" pitchFamily="34" charset="0"/>
            </a:rPr>
            <a:t> FINANCEIRO</a:t>
          </a:r>
        </a:p>
        <a:p>
          <a:pPr algn="ctr"/>
          <a:r>
            <a:rPr lang="pt-BR" sz="3600" b="1" baseline="0">
              <a:latin typeface="Segoe UI Black" panose="020B0A02040204020203" pitchFamily="34" charset="0"/>
              <a:ea typeface="Segoe UI Black" panose="020B0A02040204020203" pitchFamily="34" charset="0"/>
            </a:rPr>
            <a:t>EVALDO S.O.S VENTOINHAS</a:t>
          </a:r>
          <a:endParaRPr lang="pt-BR" sz="3600" b="1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3D841F-93A8-47B3-9A24-F5F4B2C3B7F2}" name="Tabela1" displayName="Tabela1" ref="A1:E2" totalsRowShown="0">
  <autoFilter ref="A1:E2" xr:uid="{CF3D841F-93A8-47B3-9A24-F5F4B2C3B7F2}"/>
  <tableColumns count="5">
    <tableColumn id="1" xr3:uid="{1514EF2D-FF28-4E01-90F9-30C069496257}" name="ID" dataDxfId="2">
      <calculatedColumnFormula>#REF!</calculatedColumnFormula>
    </tableColumn>
    <tableColumn id="2" xr3:uid="{6DD16B1B-43F5-4E7A-9A9B-64AD2E4CC8B9}" name="Nome"/>
    <tableColumn id="3" xr3:uid="{DA3A2D77-1945-4F8A-A969-8743E353A05B}" name="Endereço"/>
    <tableColumn id="6" xr3:uid="{3934C0DA-3C9D-4ED5-8632-63C1A96E4BE5}" name="Telefone"/>
    <tableColumn id="4" xr3:uid="{2F08B59B-CBBE-4CB1-94BD-EB35D71C60DA}" name="Tipo Cadastr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8075-462F-444B-B530-E56643D62316}">
  <sheetPr codeName="Planilha1"/>
  <dimension ref="A1:E2"/>
  <sheetViews>
    <sheetView showGridLines="0" zoomScaleNormal="100" workbookViewId="0"/>
  </sheetViews>
  <sheetFormatPr defaultRowHeight="15" x14ac:dyDescent="0.25"/>
  <cols>
    <col min="1" max="1" width="6.5703125" customWidth="1"/>
    <col min="2" max="2" width="25.140625" customWidth="1"/>
    <col min="3" max="3" width="38.140625" customWidth="1"/>
    <col min="4" max="4" width="18.28515625" customWidth="1"/>
    <col min="5" max="5" width="18" customWidth="1"/>
    <col min="6" max="6" width="4" customWidth="1"/>
  </cols>
  <sheetData>
    <row r="1" spans="1:5" x14ac:dyDescent="0.25">
      <c r="A1" t="s">
        <v>0</v>
      </c>
      <c r="B1" s="5" t="s">
        <v>1</v>
      </c>
      <c r="C1" s="5" t="s">
        <v>2</v>
      </c>
      <c r="D1" s="5" t="s">
        <v>3</v>
      </c>
      <c r="E1" s="5" t="s">
        <v>5</v>
      </c>
    </row>
    <row r="2" spans="1:5" x14ac:dyDescent="0.25">
      <c r="A2">
        <f>IF(Tabela1[[#This Row],[Nome]]="","",ROW(A1))</f>
        <v>1</v>
      </c>
      <c r="B2" t="s">
        <v>6</v>
      </c>
      <c r="C2" t="s">
        <v>7</v>
      </c>
      <c r="D2" t="s">
        <v>4</v>
      </c>
      <c r="E2" t="s">
        <v>8</v>
      </c>
    </row>
  </sheetData>
  <pageMargins left="0.511811024" right="0.511811024" top="0.78740157499999996" bottom="0.78740157499999996" header="0.31496062000000002" footer="0.31496062000000002"/>
  <pageSetup paperSize="9" orientation="landscape" horizontalDpi="0" verticalDpi="0" r:id="rId1"/>
  <headerFooter>
    <oddHeader>&amp;C&amp;"Segoe UI,Negrito"&amp;20CADASTRO DE CLIENTES E PARCEIROS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A81B8-85E6-4223-A4BB-193B29BB3A25}">
  <sheetPr codeName="Planilha2"/>
  <dimension ref="B2:C8"/>
  <sheetViews>
    <sheetView showGridLines="0" zoomScale="130" zoomScaleNormal="130" workbookViewId="0"/>
  </sheetViews>
  <sheetFormatPr defaultRowHeight="15" x14ac:dyDescent="0.25"/>
  <cols>
    <col min="2" max="2" width="14.7109375" customWidth="1"/>
    <col min="3" max="3" width="27.28515625" customWidth="1"/>
  </cols>
  <sheetData>
    <row r="2" spans="2:3" ht="65.25" customHeight="1" x14ac:dyDescent="0.25"/>
    <row r="3" spans="2:3" ht="15.75" thickBot="1" x14ac:dyDescent="0.3"/>
    <row r="4" spans="2:3" ht="17.25" thickBot="1" x14ac:dyDescent="0.3">
      <c r="B4" s="1" t="s">
        <v>1</v>
      </c>
      <c r="C4" s="2" t="s">
        <v>6</v>
      </c>
    </row>
    <row r="5" spans="2:3" ht="18" thickTop="1" thickBot="1" x14ac:dyDescent="0.3">
      <c r="B5" s="1" t="s">
        <v>2</v>
      </c>
      <c r="C5" s="3" t="str">
        <f>VLOOKUP($C$4,Tabela1[[#All],[Nome]:[Tipo Cadastro]],ROW(A2),0)</f>
        <v>rua das palmeiras</v>
      </c>
    </row>
    <row r="6" spans="2:3" ht="18" thickTop="1" thickBot="1" x14ac:dyDescent="0.3">
      <c r="B6" s="1" t="s">
        <v>3</v>
      </c>
      <c r="C6" s="3" t="str">
        <f>VLOOKUP($C$4,Tabela1[[#All],[Nome]:[Tipo Cadastro]],ROW(A3),0)</f>
        <v>(27) 99999-9999</v>
      </c>
    </row>
    <row r="7" spans="2:3" ht="18" thickTop="1" thickBot="1" x14ac:dyDescent="0.3">
      <c r="B7" s="1" t="s">
        <v>5</v>
      </c>
      <c r="C7" s="4" t="str">
        <f>VLOOKUP($C$4,Tabela1[[#All],[Nome]:[Tipo Cadastro]],ROW(A4),0)</f>
        <v>Cliente</v>
      </c>
    </row>
    <row r="8" spans="2:3" ht="15.75" thickTop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E2E89-DC8D-4690-A2FC-058AF4161570}">
  <dimension ref="A1:P36"/>
  <sheetViews>
    <sheetView showGridLines="0" tabSelected="1" workbookViewId="0">
      <selection sqref="A1:M2"/>
    </sheetView>
  </sheetViews>
  <sheetFormatPr defaultRowHeight="15" x14ac:dyDescent="0.25"/>
  <cols>
    <col min="1" max="1" width="26.140625" customWidth="1"/>
    <col min="2" max="3" width="12.140625" style="10" bestFit="1" customWidth="1"/>
    <col min="4" max="9" width="9.140625" style="10"/>
    <col min="10" max="10" width="9.28515625" style="10" bestFit="1" customWidth="1"/>
    <col min="11" max="11" width="9.140625" style="10"/>
    <col min="12" max="12" width="10.140625" style="10" bestFit="1" customWidth="1"/>
    <col min="13" max="13" width="11.28515625" style="10" bestFit="1" customWidth="1"/>
    <col min="16" max="16" width="22.42578125" bestFit="1" customWidth="1"/>
  </cols>
  <sheetData>
    <row r="1" spans="1:16" ht="80.2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16" ht="15.7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</row>
    <row r="3" spans="1:16" ht="21.75" customHeight="1" x14ac:dyDescent="0.25">
      <c r="A3" s="6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P3" s="7" t="s">
        <v>24</v>
      </c>
    </row>
    <row r="4" spans="1:16" x14ac:dyDescent="0.25">
      <c r="A4" s="5" t="s">
        <v>9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20</v>
      </c>
      <c r="M4" s="9" t="s">
        <v>21</v>
      </c>
    </row>
    <row r="5" spans="1:16" x14ac:dyDescent="0.25">
      <c r="A5" s="11" t="s">
        <v>22</v>
      </c>
      <c r="B5" s="12">
        <v>250</v>
      </c>
      <c r="C5" s="12">
        <v>300</v>
      </c>
      <c r="D5" s="12"/>
      <c r="E5" s="12"/>
      <c r="F5" s="12"/>
      <c r="G5" s="12"/>
      <c r="H5" s="12"/>
      <c r="I5" s="12"/>
      <c r="J5" s="12"/>
      <c r="K5" s="12"/>
      <c r="L5" s="12"/>
      <c r="M5" s="12"/>
    </row>
    <row r="6" spans="1:16" x14ac:dyDescent="0.25">
      <c r="A6" s="11" t="s">
        <v>23</v>
      </c>
      <c r="B6" s="12">
        <v>100</v>
      </c>
      <c r="C6" s="12">
        <v>200</v>
      </c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6" x14ac:dyDescent="0.25">
      <c r="A7" s="11" t="s">
        <v>29</v>
      </c>
      <c r="B7" s="12">
        <v>120</v>
      </c>
      <c r="C7" s="12">
        <v>300</v>
      </c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16" x14ac:dyDescent="0.25">
      <c r="A8" s="11" t="s">
        <v>30</v>
      </c>
      <c r="B8" s="12">
        <v>150</v>
      </c>
      <c r="C8" s="12">
        <v>300</v>
      </c>
      <c r="D8" s="12"/>
      <c r="E8" s="12"/>
      <c r="F8" s="12"/>
      <c r="G8" s="12"/>
      <c r="H8" s="12"/>
      <c r="I8" s="12"/>
      <c r="J8" s="12"/>
      <c r="K8" s="12"/>
      <c r="L8" s="12"/>
      <c r="M8" s="12"/>
    </row>
    <row r="9" spans="1:16" x14ac:dyDescent="0.25">
      <c r="A9" s="11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</row>
    <row r="10" spans="1:16" x14ac:dyDescent="0.2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</row>
    <row r="11" spans="1:16" x14ac:dyDescent="0.25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16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4" spans="1:16" x14ac:dyDescent="0.25">
      <c r="A14" s="11" t="s">
        <v>32</v>
      </c>
      <c r="B14" s="12">
        <f>SUM(B5:B13)</f>
        <v>620</v>
      </c>
      <c r="C14" s="12">
        <f t="shared" ref="C14:M14" si="0">SUM(C5:C13)</f>
        <v>1100</v>
      </c>
      <c r="D14" s="12">
        <f t="shared" si="0"/>
        <v>0</v>
      </c>
      <c r="E14" s="12">
        <f t="shared" si="0"/>
        <v>0</v>
      </c>
      <c r="F14" s="12">
        <f t="shared" si="0"/>
        <v>0</v>
      </c>
      <c r="G14" s="12">
        <f t="shared" si="0"/>
        <v>0</v>
      </c>
      <c r="H14" s="12">
        <f t="shared" si="0"/>
        <v>0</v>
      </c>
      <c r="I14" s="12">
        <f t="shared" si="0"/>
        <v>0</v>
      </c>
      <c r="J14" s="12">
        <f t="shared" si="0"/>
        <v>0</v>
      </c>
      <c r="K14" s="12">
        <f t="shared" si="0"/>
        <v>0</v>
      </c>
      <c r="L14" s="12">
        <f t="shared" si="0"/>
        <v>0</v>
      </c>
      <c r="M14" s="12">
        <f t="shared" si="0"/>
        <v>0</v>
      </c>
    </row>
    <row r="16" spans="1:16" x14ac:dyDescent="0.25">
      <c r="A16" s="13" t="s">
        <v>26</v>
      </c>
      <c r="B16" s="14" t="s">
        <v>10</v>
      </c>
      <c r="C16" s="14" t="s">
        <v>11</v>
      </c>
      <c r="D16" s="14" t="s">
        <v>12</v>
      </c>
      <c r="E16" s="14" t="s">
        <v>13</v>
      </c>
      <c r="F16" s="14" t="s">
        <v>14</v>
      </c>
      <c r="G16" s="14" t="s">
        <v>15</v>
      </c>
      <c r="H16" s="14" t="s">
        <v>16</v>
      </c>
      <c r="I16" s="14" t="s">
        <v>17</v>
      </c>
      <c r="J16" s="14" t="s">
        <v>18</v>
      </c>
      <c r="K16" s="14" t="s">
        <v>19</v>
      </c>
      <c r="L16" s="14" t="s">
        <v>20</v>
      </c>
      <c r="M16" s="14" t="s">
        <v>21</v>
      </c>
    </row>
    <row r="17" spans="1:13" x14ac:dyDescent="0.25">
      <c r="A17" s="11" t="s">
        <v>27</v>
      </c>
      <c r="B17" s="12">
        <v>1500</v>
      </c>
      <c r="C17" s="12">
        <v>800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x14ac:dyDescent="0.25">
      <c r="A18" s="11" t="s">
        <v>28</v>
      </c>
      <c r="B18" s="12">
        <v>125.5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20" spans="1:13" x14ac:dyDescent="0.25">
      <c r="A20" s="11" t="s">
        <v>31</v>
      </c>
      <c r="B20" s="12">
        <f>SUM(B17:B19)</f>
        <v>1625.5</v>
      </c>
      <c r="C20" s="12">
        <f t="shared" ref="C20:M20" si="1">SUM(C17:C19)</f>
        <v>800</v>
      </c>
      <c r="D20" s="12">
        <f t="shared" si="1"/>
        <v>0</v>
      </c>
      <c r="E20" s="12">
        <f t="shared" si="1"/>
        <v>0</v>
      </c>
      <c r="F20" s="12">
        <f t="shared" si="1"/>
        <v>0</v>
      </c>
      <c r="G20" s="12">
        <f t="shared" si="1"/>
        <v>0</v>
      </c>
      <c r="H20" s="12">
        <f t="shared" si="1"/>
        <v>0</v>
      </c>
      <c r="I20" s="12">
        <f t="shared" si="1"/>
        <v>0</v>
      </c>
      <c r="J20" s="12">
        <f t="shared" si="1"/>
        <v>0</v>
      </c>
      <c r="K20" s="12">
        <f t="shared" si="1"/>
        <v>0</v>
      </c>
      <c r="L20" s="12">
        <f t="shared" si="1"/>
        <v>0</v>
      </c>
      <c r="M20" s="12">
        <f t="shared" si="1"/>
        <v>0</v>
      </c>
    </row>
    <row r="24" spans="1:13" x14ac:dyDescent="0.25">
      <c r="A24" s="15" t="s">
        <v>25</v>
      </c>
      <c r="B24" s="20" t="s">
        <v>35</v>
      </c>
      <c r="C24" s="20"/>
      <c r="D24" s="20" t="s">
        <v>34</v>
      </c>
      <c r="E24" s="20"/>
      <c r="F24" s="20"/>
      <c r="G24" s="20" t="s">
        <v>33</v>
      </c>
      <c r="H24" s="20"/>
      <c r="I24" s="20"/>
    </row>
    <row r="25" spans="1:13" x14ac:dyDescent="0.25">
      <c r="A25" s="11" t="s">
        <v>10</v>
      </c>
      <c r="B25" s="16">
        <f>B14</f>
        <v>620</v>
      </c>
      <c r="C25" s="16"/>
      <c r="D25" s="16">
        <f>B20</f>
        <v>1625.5</v>
      </c>
      <c r="E25" s="16"/>
      <c r="F25" s="16"/>
      <c r="G25" s="16">
        <f>B20-B14</f>
        <v>1005.5</v>
      </c>
      <c r="H25" s="16"/>
      <c r="I25" s="16"/>
    </row>
    <row r="26" spans="1:13" x14ac:dyDescent="0.25">
      <c r="A26" s="11" t="s">
        <v>11</v>
      </c>
      <c r="B26" s="16">
        <f>C14</f>
        <v>1100</v>
      </c>
      <c r="C26" s="16"/>
      <c r="D26" s="16">
        <f>C20</f>
        <v>800</v>
      </c>
      <c r="E26" s="16"/>
      <c r="F26" s="16"/>
      <c r="G26" s="16">
        <f>C20-C14</f>
        <v>-300</v>
      </c>
      <c r="H26" s="16"/>
      <c r="I26" s="16"/>
    </row>
    <row r="27" spans="1:13" x14ac:dyDescent="0.25">
      <c r="A27" s="11" t="s">
        <v>12</v>
      </c>
      <c r="B27" s="16">
        <f>D14</f>
        <v>0</v>
      </c>
      <c r="C27" s="19"/>
      <c r="D27" s="16">
        <f>D20</f>
        <v>0</v>
      </c>
      <c r="E27" s="16"/>
      <c r="F27" s="16"/>
      <c r="G27" s="16">
        <f>D20-D14</f>
        <v>0</v>
      </c>
      <c r="H27" s="16"/>
      <c r="I27" s="16"/>
    </row>
    <row r="28" spans="1:13" x14ac:dyDescent="0.25">
      <c r="A28" s="11" t="s">
        <v>13</v>
      </c>
      <c r="B28" s="18">
        <f>E14</f>
        <v>0</v>
      </c>
      <c r="C28" s="19"/>
      <c r="D28" s="16">
        <f>E20</f>
        <v>0</v>
      </c>
      <c r="E28" s="16"/>
      <c r="F28" s="16"/>
      <c r="G28" s="16">
        <f>E20-E14</f>
        <v>0</v>
      </c>
      <c r="H28" s="16"/>
      <c r="I28" s="16"/>
    </row>
    <row r="29" spans="1:13" x14ac:dyDescent="0.25">
      <c r="A29" s="11" t="s">
        <v>14</v>
      </c>
      <c r="B29" s="18">
        <f>F14</f>
        <v>0</v>
      </c>
      <c r="C29" s="19"/>
      <c r="D29" s="16">
        <f>F20</f>
        <v>0</v>
      </c>
      <c r="E29" s="16"/>
      <c r="F29" s="16"/>
      <c r="G29" s="16">
        <f>F20-F14</f>
        <v>0</v>
      </c>
      <c r="H29" s="16"/>
      <c r="I29" s="16"/>
    </row>
    <row r="30" spans="1:13" x14ac:dyDescent="0.25">
      <c r="A30" s="11" t="s">
        <v>15</v>
      </c>
      <c r="B30" s="18">
        <f>G14</f>
        <v>0</v>
      </c>
      <c r="C30" s="19"/>
      <c r="D30" s="16">
        <f>G20</f>
        <v>0</v>
      </c>
      <c r="E30" s="16"/>
      <c r="F30" s="16"/>
      <c r="G30" s="16">
        <f>G20-G14</f>
        <v>0</v>
      </c>
      <c r="H30" s="16"/>
      <c r="I30" s="16"/>
    </row>
    <row r="31" spans="1:13" x14ac:dyDescent="0.25">
      <c r="A31" s="11" t="s">
        <v>16</v>
      </c>
      <c r="B31" s="18">
        <f>H14</f>
        <v>0</v>
      </c>
      <c r="C31" s="19"/>
      <c r="D31" s="16">
        <f>H20</f>
        <v>0</v>
      </c>
      <c r="E31" s="16"/>
      <c r="F31" s="16"/>
      <c r="G31" s="16">
        <f>H20-H14</f>
        <v>0</v>
      </c>
      <c r="H31" s="16"/>
      <c r="I31" s="16"/>
    </row>
    <row r="32" spans="1:13" x14ac:dyDescent="0.25">
      <c r="A32" s="11" t="s">
        <v>17</v>
      </c>
      <c r="B32" s="18">
        <f>I14</f>
        <v>0</v>
      </c>
      <c r="C32" s="19"/>
      <c r="D32" s="16">
        <f>I20</f>
        <v>0</v>
      </c>
      <c r="E32" s="16"/>
      <c r="F32" s="16"/>
      <c r="G32" s="16">
        <f>I20-I14</f>
        <v>0</v>
      </c>
      <c r="H32" s="16"/>
      <c r="I32" s="16"/>
    </row>
    <row r="33" spans="1:9" x14ac:dyDescent="0.25">
      <c r="A33" s="11" t="s">
        <v>18</v>
      </c>
      <c r="B33" s="18">
        <f>J14</f>
        <v>0</v>
      </c>
      <c r="C33" s="19"/>
      <c r="D33" s="16">
        <f>J20</f>
        <v>0</v>
      </c>
      <c r="E33" s="16"/>
      <c r="F33" s="16"/>
      <c r="G33" s="16">
        <f>J20-J14</f>
        <v>0</v>
      </c>
      <c r="H33" s="16"/>
      <c r="I33" s="16"/>
    </row>
    <row r="34" spans="1:9" x14ac:dyDescent="0.25">
      <c r="A34" s="11" t="s">
        <v>19</v>
      </c>
      <c r="B34" s="18">
        <f>K14</f>
        <v>0</v>
      </c>
      <c r="C34" s="19"/>
      <c r="D34" s="16">
        <f>K20</f>
        <v>0</v>
      </c>
      <c r="E34" s="16"/>
      <c r="F34" s="16"/>
      <c r="G34" s="16">
        <f>K20-K14</f>
        <v>0</v>
      </c>
      <c r="H34" s="16"/>
      <c r="I34" s="16"/>
    </row>
    <row r="35" spans="1:9" x14ac:dyDescent="0.25">
      <c r="A35" s="11" t="s">
        <v>20</v>
      </c>
      <c r="B35" s="18">
        <f>L14</f>
        <v>0</v>
      </c>
      <c r="C35" s="19"/>
      <c r="D35" s="16">
        <f>L20</f>
        <v>0</v>
      </c>
      <c r="E35" s="16"/>
      <c r="F35" s="16"/>
      <c r="G35" s="16">
        <f>L20-L14</f>
        <v>0</v>
      </c>
      <c r="H35" s="16"/>
      <c r="I35" s="16"/>
    </row>
    <row r="36" spans="1:9" x14ac:dyDescent="0.25">
      <c r="A36" s="11" t="s">
        <v>21</v>
      </c>
      <c r="B36" s="18">
        <f>M14</f>
        <v>0</v>
      </c>
      <c r="C36" s="19"/>
      <c r="D36" s="16">
        <f>M20</f>
        <v>0</v>
      </c>
      <c r="E36" s="16"/>
      <c r="F36" s="16"/>
      <c r="G36" s="16">
        <f>M20-M14</f>
        <v>0</v>
      </c>
      <c r="H36" s="16"/>
      <c r="I36" s="16"/>
    </row>
  </sheetData>
  <mergeCells count="40">
    <mergeCell ref="B31:C31"/>
    <mergeCell ref="B32:C32"/>
    <mergeCell ref="B24:C24"/>
    <mergeCell ref="D24:F24"/>
    <mergeCell ref="G24:I24"/>
    <mergeCell ref="B25:C25"/>
    <mergeCell ref="B26:C26"/>
    <mergeCell ref="G25:I25"/>
    <mergeCell ref="G26:I26"/>
    <mergeCell ref="D30:F30"/>
    <mergeCell ref="B27:C27"/>
    <mergeCell ref="B28:C28"/>
    <mergeCell ref="B29:C29"/>
    <mergeCell ref="B30:C30"/>
    <mergeCell ref="D25:F25"/>
    <mergeCell ref="D26:F26"/>
    <mergeCell ref="D27:F27"/>
    <mergeCell ref="D28:F28"/>
    <mergeCell ref="D29:F29"/>
    <mergeCell ref="D36:F36"/>
    <mergeCell ref="B33:C33"/>
    <mergeCell ref="B34:C34"/>
    <mergeCell ref="B35:C35"/>
    <mergeCell ref="B36:C36"/>
    <mergeCell ref="G33:I33"/>
    <mergeCell ref="G34:I34"/>
    <mergeCell ref="G35:I35"/>
    <mergeCell ref="G36:I36"/>
    <mergeCell ref="A1:M2"/>
    <mergeCell ref="G27:I27"/>
    <mergeCell ref="G28:I28"/>
    <mergeCell ref="G29:I29"/>
    <mergeCell ref="G30:I30"/>
    <mergeCell ref="G31:I31"/>
    <mergeCell ref="G32:I32"/>
    <mergeCell ref="D31:F31"/>
    <mergeCell ref="D32:F32"/>
    <mergeCell ref="D33:F33"/>
    <mergeCell ref="D34:F34"/>
    <mergeCell ref="D35:F35"/>
  </mergeCells>
  <phoneticPr fontId="6" type="noConversion"/>
  <conditionalFormatting sqref="A4:M4">
    <cfRule type="uniqueValues" dxfId="1" priority="5"/>
  </conditionalFormatting>
  <conditionalFormatting sqref="A16:M16">
    <cfRule type="duplicateValues" dxfId="0" priority="4"/>
  </conditionalFormatting>
  <conditionalFormatting sqref="G25:I36">
    <cfRule type="colorScale" priority="3">
      <colorScale>
        <cfvo type="min"/>
        <cfvo type="max"/>
        <color rgb="FFFF0000"/>
        <color theme="9" tint="-0.249977111117893"/>
      </colorScale>
    </cfRule>
    <cfRule type="colorScale" priority="2">
      <colorScale>
        <cfvo type="min"/>
        <cfvo type="max"/>
        <color theme="5" tint="0.39997558519241921"/>
        <color theme="9" tint="-0.249977111117893"/>
      </colorScale>
    </cfRule>
    <cfRule type="colorScale" priority="1">
      <colorScale>
        <cfvo type="min"/>
        <cfvo type="max"/>
        <color theme="5" tint="-0.249977111117893"/>
        <color theme="9" tint="-0.249977111117893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WCL6U57N24VPBLAXRCY6JNGTDEFSJX2:ms-officescript%3A%2F%2Fonedrive_business_sharinglink%2Fu!aHR0cHM6Ly91bml2aXhlZHUtbXkuc2hhcmVwb2ludC5jb20vOnU6L2cvcGVyc29uYWwvbHVpem1vcmFlc19hbHVub19tdWx0aXZpeF9lZHVfYnIvRWI5dXVWZUZZTHhGanlXbW1NaFpKdm9CbVNjMUNqR3FsQVliV2VDSk9zRU4zZw"/>
  <scriptId xmlns="" id="ms-officescript%3A%2F%2Fonedrive_business_itemlink%2F01VWCL6UYG2OCVW633IRDJJC4AG2FCCVZ4:ms-officescript%3A%2F%2Fonedrive_business_sharinglink%2Fu!aHR0cHM6Ly91bml2aXhlZHUtbXkuc2hhcmVwb2ludC5jb20vOnU6L2cvcGVyc29uYWwvbHVpem1vcmFlc19hbHVub19tdWx0aXZpeF9lZHVfYnIvRVFiVGhWdDdlMFJHbEl1QU5vb2hWendCV3N5WEZVTXVsQUk1RjdjV19pMjJvUQ"/>
</scriptIds>
</file>

<file path=customXml/itemProps1.xml><?xml version="1.0" encoding="utf-8"?>
<ds:datastoreItem xmlns:ds="http://schemas.openxmlformats.org/officeDocument/2006/customXml" ds:itemID="{F8585C88-0C0C-4958-9502-F16A22B7E5B9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Pesquisa</vt:lpstr>
      <vt:lpstr>Controle financeiro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 Moraes 518273 - Aluno MULTIVIX</dc:creator>
  <cp:lastModifiedBy>Luiz  Moraes 518273 - Aluno MULTIVIX</cp:lastModifiedBy>
  <dcterms:created xsi:type="dcterms:W3CDTF">2024-09-07T17:03:39Z</dcterms:created>
  <dcterms:modified xsi:type="dcterms:W3CDTF">2024-09-07T21:54:17Z</dcterms:modified>
</cp:coreProperties>
</file>